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08FA3F-812E-4E8C-BAED-999820A5C96C}" xr6:coauthVersionLast="47" xr6:coauthVersionMax="47" xr10:uidLastSave="{00000000-0000-0000-0000-000000000000}"/>
  <bookViews>
    <workbookView xWindow="-120" yWindow="-120" windowWidth="29040" windowHeight="16440" xr2:uid="{7652AC1C-9BD6-4F34-A7D3-E301FA5B9B9A}"/>
  </bookViews>
  <sheets>
    <sheet name="Des 202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V20" i="1" s="1"/>
  <c r="S20" i="1"/>
  <c r="O20" i="1"/>
  <c r="P20" i="1" s="1"/>
  <c r="M20" i="1"/>
  <c r="N20" i="1" s="1"/>
  <c r="I20" i="1"/>
  <c r="J20" i="1" s="1"/>
  <c r="G20" i="1"/>
  <c r="H20" i="1" s="1"/>
  <c r="E20" i="1"/>
  <c r="D20" i="1"/>
  <c r="T20" i="1" s="1"/>
  <c r="W19" i="1"/>
  <c r="X19" i="1" s="1"/>
  <c r="V19" i="1"/>
  <c r="T19" i="1"/>
  <c r="Q19" i="1"/>
  <c r="P19" i="1"/>
  <c r="N19" i="1"/>
  <c r="K19" i="1"/>
  <c r="L19" i="1" s="1"/>
  <c r="J19" i="1"/>
  <c r="H19" i="1"/>
  <c r="F19" i="1"/>
  <c r="R19" i="1" s="1"/>
  <c r="W18" i="1"/>
  <c r="X18" i="1" s="1"/>
  <c r="V18" i="1"/>
  <c r="T18" i="1"/>
  <c r="Q18" i="1"/>
  <c r="R18" i="1" s="1"/>
  <c r="P18" i="1"/>
  <c r="N18" i="1"/>
  <c r="K18" i="1"/>
  <c r="L18" i="1" s="1"/>
  <c r="J18" i="1"/>
  <c r="H18" i="1"/>
  <c r="F18" i="1"/>
  <c r="X17" i="1"/>
  <c r="W17" i="1"/>
  <c r="V17" i="1"/>
  <c r="T17" i="1"/>
  <c r="Q17" i="1"/>
  <c r="R17" i="1" s="1"/>
  <c r="P17" i="1"/>
  <c r="N17" i="1"/>
  <c r="L17" i="1"/>
  <c r="K17" i="1"/>
  <c r="J17" i="1"/>
  <c r="H17" i="1"/>
  <c r="F17" i="1"/>
  <c r="X16" i="1"/>
  <c r="W16" i="1"/>
  <c r="V16" i="1"/>
  <c r="T16" i="1"/>
  <c r="Q16" i="1"/>
  <c r="R16" i="1" s="1"/>
  <c r="P16" i="1"/>
  <c r="N16" i="1"/>
  <c r="L16" i="1"/>
  <c r="K16" i="1"/>
  <c r="J16" i="1"/>
  <c r="H16" i="1"/>
  <c r="F16" i="1"/>
  <c r="X15" i="1"/>
  <c r="W15" i="1"/>
  <c r="V15" i="1"/>
  <c r="T15" i="1"/>
  <c r="Q15" i="1"/>
  <c r="R15" i="1" s="1"/>
  <c r="P15" i="1"/>
  <c r="N15" i="1"/>
  <c r="L15" i="1"/>
  <c r="K15" i="1"/>
  <c r="J15" i="1"/>
  <c r="H15" i="1"/>
  <c r="F15" i="1"/>
  <c r="W14" i="1"/>
  <c r="X14" i="1" s="1"/>
  <c r="V14" i="1"/>
  <c r="T14" i="1"/>
  <c r="Q14" i="1"/>
  <c r="R14" i="1" s="1"/>
  <c r="P14" i="1"/>
  <c r="N14" i="1"/>
  <c r="K14" i="1"/>
  <c r="L14" i="1" s="1"/>
  <c r="J14" i="1"/>
  <c r="H14" i="1"/>
  <c r="F14" i="1"/>
  <c r="W13" i="1"/>
  <c r="X13" i="1" s="1"/>
  <c r="V13" i="1"/>
  <c r="T13" i="1"/>
  <c r="Q13" i="1"/>
  <c r="P13" i="1"/>
  <c r="N13" i="1"/>
  <c r="K13" i="1"/>
  <c r="L13" i="1" s="1"/>
  <c r="J13" i="1"/>
  <c r="H13" i="1"/>
  <c r="F13" i="1"/>
  <c r="R13" i="1" s="1"/>
  <c r="W12" i="1"/>
  <c r="X12" i="1" s="1"/>
  <c r="V12" i="1"/>
  <c r="T12" i="1"/>
  <c r="Q12" i="1"/>
  <c r="P12" i="1"/>
  <c r="N12" i="1"/>
  <c r="K12" i="1"/>
  <c r="L12" i="1" s="1"/>
  <c r="J12" i="1"/>
  <c r="H12" i="1"/>
  <c r="F12" i="1"/>
  <c r="R12" i="1" s="1"/>
  <c r="W11" i="1"/>
  <c r="X11" i="1" s="1"/>
  <c r="V11" i="1"/>
  <c r="T11" i="1"/>
  <c r="Q11" i="1"/>
  <c r="P11" i="1"/>
  <c r="N11" i="1"/>
  <c r="K11" i="1"/>
  <c r="L11" i="1" s="1"/>
  <c r="J11" i="1"/>
  <c r="H11" i="1"/>
  <c r="F11" i="1"/>
  <c r="R11" i="1" s="1"/>
  <c r="W10" i="1"/>
  <c r="X10" i="1" s="1"/>
  <c r="V10" i="1"/>
  <c r="T10" i="1"/>
  <c r="Q10" i="1"/>
  <c r="R10" i="1" s="1"/>
  <c r="P10" i="1"/>
  <c r="N10" i="1"/>
  <c r="K10" i="1"/>
  <c r="L10" i="1" s="1"/>
  <c r="J10" i="1"/>
  <c r="H10" i="1"/>
  <c r="F10" i="1"/>
  <c r="F20" i="1" s="1"/>
  <c r="J4" i="1"/>
  <c r="Q20" i="1" l="1"/>
  <c r="R20" i="1" s="1"/>
  <c r="K20" i="1"/>
  <c r="L20" i="1" s="1"/>
  <c r="W20" i="1"/>
  <c r="X20" i="1" s="1"/>
</calcChain>
</file>

<file path=xl/sharedStrings.xml><?xml version="1.0" encoding="utf-8"?>
<sst xmlns="http://schemas.openxmlformats.org/spreadsheetml/2006/main" count="59" uniqueCount="33">
  <si>
    <t xml:space="preserve"> </t>
  </si>
  <si>
    <t>CAKUPAN KUNJUNGAN NEONATAL MENURUT JENIS KELAMIN</t>
  </si>
  <si>
    <t>BULAN :</t>
  </si>
  <si>
    <t>DESEMBER</t>
  </si>
  <si>
    <t>NO</t>
  </si>
  <si>
    <t xml:space="preserve">Puskesmas </t>
  </si>
  <si>
    <t>Desa</t>
  </si>
  <si>
    <t>JUMLAH LAHIR HIDUP</t>
  </si>
  <si>
    <t>KUNJUNGAN NEONATAL 1 KALI (KN1)</t>
  </si>
  <si>
    <t>KUNJUNGAN NEONATAL 3 KALI (KN LENGKAP)</t>
  </si>
  <si>
    <t>BAYI BARU LAHIR YANG DILAKUKAN SCREENING HIPOTIROID KONGENITAL</t>
  </si>
  <si>
    <t>L</t>
  </si>
  <si>
    <t>P</t>
  </si>
  <si>
    <t>L + P</t>
  </si>
  <si>
    <t>L  + P</t>
  </si>
  <si>
    <t>JUMLAH</t>
  </si>
  <si>
    <t>%</t>
  </si>
  <si>
    <t>Mapane</t>
  </si>
  <si>
    <t>Kasiguncu</t>
  </si>
  <si>
    <t>Tabalu</t>
  </si>
  <si>
    <t>Lantojaya</t>
  </si>
  <si>
    <t>Toini</t>
  </si>
  <si>
    <t>Betania</t>
  </si>
  <si>
    <t>Bega</t>
  </si>
  <si>
    <t>Masamba</t>
  </si>
  <si>
    <t>Saatu</t>
  </si>
  <si>
    <t>Pinedapa</t>
  </si>
  <si>
    <t>Mapane,................................2022</t>
  </si>
  <si>
    <t xml:space="preserve">Sumber: ………. (sebutkan) </t>
  </si>
  <si>
    <t xml:space="preserve">Mengetahui </t>
  </si>
  <si>
    <t>Kepala Puskesmas Mapane</t>
  </si>
  <si>
    <t>Bd. Marwa Tandjeng Dg Materru, S.T.Keb</t>
  </si>
  <si>
    <t>Nip. 19750117 200212 2 004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</si>
</sst>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1" fillId="0" borderId="0"/>
  </cellStyleXfs>
  <cellXfs count="57">
    <xf numFmtId="0" fontId="0" fillId="0" borderId="0" xfId="0"/>
    <xf numFmtId="0" fontId="3" fillId="0" borderId="0" xfId="2" quotePrefix="1" applyFont="1" applyAlignment="1">
      <alignment horizontal="left" vertical="center"/>
    </xf>
    <xf numFmtId="0" fontId="4" fillId="0" borderId="0" xfId="2" applyFont="1" applyAlignment="1">
      <alignment vertical="center"/>
    </xf>
    <xf numFmtId="0" fontId="2" fillId="0" borderId="0" xfId="2"/>
    <xf numFmtId="0" fontId="3" fillId="0" borderId="0" xfId="2" applyFont="1" applyAlignment="1">
      <alignment horizontal="center" vertical="center"/>
    </xf>
    <xf numFmtId="0" fontId="2" fillId="0" borderId="0" xfId="2"/>
    <xf numFmtId="0" fontId="3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2" fillId="0" borderId="0" xfId="2" applyAlignment="1">
      <alignment wrapText="1"/>
    </xf>
    <xf numFmtId="0" fontId="6" fillId="0" borderId="4" xfId="2" applyFont="1" applyBorder="1" applyAlignment="1">
      <alignment wrapText="1"/>
    </xf>
    <xf numFmtId="0" fontId="3" fillId="0" borderId="5" xfId="2" applyFont="1" applyBorder="1" applyAlignment="1">
      <alignment horizontal="center" vertical="center" wrapText="1"/>
    </xf>
    <xf numFmtId="0" fontId="6" fillId="0" borderId="6" xfId="2" applyFont="1" applyBorder="1"/>
    <xf numFmtId="0" fontId="6" fillId="0" borderId="7" xfId="2" applyFont="1" applyBorder="1"/>
    <xf numFmtId="0" fontId="3" fillId="0" borderId="8" xfId="2" applyFont="1" applyBorder="1" applyAlignment="1">
      <alignment horizontal="center" vertical="center" wrapText="1"/>
    </xf>
    <xf numFmtId="0" fontId="6" fillId="0" borderId="9" xfId="2" applyFont="1" applyBorder="1"/>
    <xf numFmtId="0" fontId="6" fillId="0" borderId="10" xfId="2" applyFont="1" applyBorder="1"/>
    <xf numFmtId="0" fontId="6" fillId="0" borderId="2" xfId="2" applyFont="1" applyBorder="1"/>
    <xf numFmtId="0" fontId="6" fillId="0" borderId="5" xfId="2" applyFont="1" applyBorder="1" applyAlignment="1">
      <alignment wrapText="1"/>
    </xf>
    <xf numFmtId="0" fontId="6" fillId="0" borderId="6" xfId="2" applyFont="1" applyBorder="1" applyAlignment="1">
      <alignment wrapText="1"/>
    </xf>
    <xf numFmtId="0" fontId="6" fillId="0" borderId="7" xfId="2" applyFont="1" applyBorder="1" applyAlignment="1">
      <alignment wrapText="1"/>
    </xf>
    <xf numFmtId="0" fontId="7" fillId="0" borderId="11" xfId="2" applyFont="1" applyBorder="1" applyAlignment="1">
      <alignment horizontal="center" vertical="center" wrapText="1"/>
    </xf>
    <xf numFmtId="0" fontId="8" fillId="0" borderId="12" xfId="2" applyFont="1" applyBorder="1"/>
    <xf numFmtId="0" fontId="6" fillId="0" borderId="13" xfId="2" applyFont="1" applyBorder="1"/>
    <xf numFmtId="0" fontId="7" fillId="0" borderId="14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4" fillId="0" borderId="3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37" fontId="4" fillId="0" borderId="2" xfId="2" applyNumberFormat="1" applyFont="1" applyBorder="1" applyAlignment="1">
      <alignment horizontal="center" vertical="center"/>
    </xf>
    <xf numFmtId="37" fontId="4" fillId="0" borderId="4" xfId="2" applyNumberFormat="1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3" fillId="0" borderId="16" xfId="2" applyFont="1" applyBorder="1" applyAlignment="1">
      <alignment vertical="center"/>
    </xf>
    <xf numFmtId="0" fontId="3" fillId="0" borderId="17" xfId="2" applyFont="1" applyBorder="1" applyAlignment="1">
      <alignment vertical="center"/>
    </xf>
    <xf numFmtId="0" fontId="3" fillId="0" borderId="18" xfId="2" applyFont="1" applyBorder="1" applyAlignment="1">
      <alignment vertical="center"/>
    </xf>
    <xf numFmtId="37" fontId="3" fillId="0" borderId="14" xfId="2" applyNumberFormat="1" applyFont="1" applyBorder="1" applyAlignment="1">
      <alignment horizontal="center" vertical="center"/>
    </xf>
    <xf numFmtId="9" fontId="3" fillId="0" borderId="14" xfId="1" applyFont="1" applyBorder="1" applyAlignment="1">
      <alignment horizontal="center" vertical="center"/>
    </xf>
    <xf numFmtId="37" fontId="3" fillId="0" borderId="0" xfId="2" applyNumberFormat="1" applyFont="1" applyAlignment="1">
      <alignment horizontal="right"/>
    </xf>
    <xf numFmtId="9" fontId="3" fillId="0" borderId="0" xfId="1" applyFont="1" applyBorder="1" applyAlignment="1">
      <alignment horizontal="right"/>
    </xf>
    <xf numFmtId="0" fontId="4" fillId="0" borderId="0" xfId="2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2" applyFont="1" applyAlignment="1">
      <alignment vertical="center"/>
    </xf>
    <xf numFmtId="0" fontId="12" fillId="0" borderId="0" xfId="3" applyFont="1" applyAlignment="1">
      <alignment vertical="center"/>
    </xf>
    <xf numFmtId="37" fontId="4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4" fillId="0" borderId="0" xfId="3" applyFont="1" applyAlignment="1">
      <alignment vertical="center"/>
    </xf>
  </cellXfs>
  <cellStyles count="4">
    <cellStyle name="Normal" xfId="0" builtinId="0"/>
    <cellStyle name="Normal 3" xfId="3" xr:uid="{BEDB7B89-ABE3-4688-A8D0-21B535D79A5A}"/>
    <cellStyle name="Normal 8" xfId="2" xr:uid="{8DCC1795-B811-432A-81EF-7F9D0D3335EE}"/>
    <cellStyle name="Percent" xfId="1" builtinId="5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251883</xdr:colOff>
      <xdr:row>24</xdr:row>
      <xdr:rowOff>116094</xdr:rowOff>
    </xdr:from>
    <xdr:to>
      <xdr:col>21</xdr:col>
      <xdr:colOff>198016</xdr:colOff>
      <xdr:row>29</xdr:row>
      <xdr:rowOff>108492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64F6C-9936-42F1-AEF6-DE0240C7B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57069">
          <a:off x="11758083" y="7688469"/>
          <a:ext cx="1689208" cy="9544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Local/Packages/5319275A.WhatsAppDesktop_cv1g1gvanyjgm/LocalState/sessions/BE3C1FA3594475E1D6D66A21AD8CE629166DF2DF/transfers/2026-22/Users/fahri/Downloads/PROFIL%20LENGKAP%20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</sheetNames>
    <sheetDataSet>
      <sheetData sheetId="0" refreshError="1"/>
      <sheetData sheetId="1" refreshError="1">
        <row r="5">
          <cell r="E5" t="str">
            <v>KABUPATEN/KOTA</v>
          </cell>
        </row>
        <row r="6">
          <cell r="E6" t="str">
            <v>TAHUN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441F-D23F-4CC0-A59E-433F7D2E8360}">
  <sheetPr>
    <tabColor theme="9"/>
  </sheetPr>
  <dimension ref="A1:AA985"/>
  <sheetViews>
    <sheetView tabSelected="1" view="pageBreakPreview" topLeftCell="B1" zoomScale="85" zoomScaleNormal="100" zoomScaleSheetLayoutView="85" workbookViewId="0">
      <selection activeCell="A3" sqref="A3:X3"/>
    </sheetView>
  </sheetViews>
  <sheetFormatPr defaultColWidth="14.42578125" defaultRowHeight="15" customHeight="1" x14ac:dyDescent="0.25"/>
  <cols>
    <col min="1" max="1" width="5.7109375" style="3" customWidth="1"/>
    <col min="2" max="2" width="15.42578125" style="3" customWidth="1"/>
    <col min="3" max="3" width="13" style="3" customWidth="1"/>
    <col min="4" max="6" width="7.28515625" style="3" customWidth="1"/>
    <col min="7" max="12" width="9.42578125" style="3" customWidth="1"/>
    <col min="13" max="18" width="10" style="3" customWidth="1"/>
    <col min="19" max="24" width="8.7109375" style="3" customWidth="1"/>
    <col min="25" max="26" width="9.140625" style="3" customWidth="1"/>
    <col min="27" max="16384" width="14.42578125" style="3"/>
  </cols>
  <sheetData>
    <row r="1" spans="1:26" ht="15.75" x14ac:dyDescent="0.25">
      <c r="A1" s="1"/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2"/>
      <c r="Z3" s="2"/>
    </row>
    <row r="4" spans="1:26" ht="16.5" x14ac:dyDescent="0.25">
      <c r="A4" s="6"/>
      <c r="B4" s="6"/>
      <c r="C4" s="6"/>
      <c r="D4" s="6"/>
      <c r="E4" s="6"/>
      <c r="F4" s="6"/>
      <c r="G4" s="6" t="s">
        <v>2</v>
      </c>
      <c r="H4" s="6" t="s">
        <v>3</v>
      </c>
      <c r="I4" s="2"/>
      <c r="J4" s="7" t="str">
        <f>'[1]1'!$E$6</f>
        <v>TAHUN</v>
      </c>
      <c r="K4" s="8">
        <v>2022</v>
      </c>
      <c r="L4" s="7"/>
      <c r="M4" s="6"/>
      <c r="N4" s="6"/>
      <c r="O4" s="6"/>
      <c r="P4" s="6"/>
      <c r="Q4" s="6"/>
      <c r="R4" s="6"/>
      <c r="S4" s="9"/>
      <c r="T4" s="9"/>
      <c r="U4" s="9"/>
      <c r="V4" s="9"/>
      <c r="W4" s="9"/>
      <c r="X4" s="9"/>
      <c r="Y4" s="2"/>
      <c r="Z4" s="2"/>
    </row>
    <row r="5" spans="1:26" ht="15.75" thickBo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2"/>
      <c r="T5" s="2"/>
      <c r="U5" s="2"/>
      <c r="V5" s="2"/>
      <c r="W5" s="2"/>
      <c r="X5" s="2"/>
      <c r="Y5" s="2"/>
      <c r="Z5" s="2"/>
    </row>
    <row r="6" spans="1:26" ht="42.75" customHeight="1" x14ac:dyDescent="0.25">
      <c r="A6" s="11" t="s">
        <v>4</v>
      </c>
      <c r="B6" s="11" t="s">
        <v>5</v>
      </c>
      <c r="C6" s="11" t="s">
        <v>6</v>
      </c>
      <c r="D6" s="12" t="s">
        <v>7</v>
      </c>
      <c r="E6" s="13"/>
      <c r="F6" s="14"/>
      <c r="G6" s="15" t="s">
        <v>8</v>
      </c>
      <c r="H6" s="16"/>
      <c r="I6" s="16"/>
      <c r="J6" s="16"/>
      <c r="K6" s="16"/>
      <c r="L6" s="17"/>
      <c r="M6" s="15" t="s">
        <v>9</v>
      </c>
      <c r="N6" s="16"/>
      <c r="O6" s="16"/>
      <c r="P6" s="16"/>
      <c r="Q6" s="16"/>
      <c r="R6" s="17"/>
      <c r="S6" s="18" t="s">
        <v>10</v>
      </c>
      <c r="T6" s="19"/>
      <c r="U6" s="19"/>
      <c r="V6" s="19"/>
      <c r="W6" s="19"/>
      <c r="X6" s="20"/>
      <c r="Y6" s="2"/>
      <c r="Z6" s="2"/>
    </row>
    <row r="7" spans="1:26" x14ac:dyDescent="0.25">
      <c r="A7" s="21"/>
      <c r="B7" s="21"/>
      <c r="C7" s="21"/>
      <c r="D7" s="22"/>
      <c r="E7" s="23"/>
      <c r="F7" s="24"/>
      <c r="G7" s="25" t="s">
        <v>11</v>
      </c>
      <c r="H7" s="26"/>
      <c r="I7" s="25" t="s">
        <v>12</v>
      </c>
      <c r="J7" s="26"/>
      <c r="K7" s="25" t="s">
        <v>13</v>
      </c>
      <c r="L7" s="26"/>
      <c r="M7" s="25" t="s">
        <v>11</v>
      </c>
      <c r="N7" s="26"/>
      <c r="O7" s="25" t="s">
        <v>12</v>
      </c>
      <c r="P7" s="26"/>
      <c r="Q7" s="25" t="s">
        <v>13</v>
      </c>
      <c r="R7" s="26"/>
      <c r="S7" s="25" t="s">
        <v>11</v>
      </c>
      <c r="T7" s="26"/>
      <c r="U7" s="25" t="s">
        <v>12</v>
      </c>
      <c r="V7" s="26"/>
      <c r="W7" s="25" t="s">
        <v>13</v>
      </c>
      <c r="X7" s="26"/>
      <c r="Y7" s="2"/>
      <c r="Z7" s="2"/>
    </row>
    <row r="8" spans="1:26" x14ac:dyDescent="0.25">
      <c r="A8" s="27"/>
      <c r="B8" s="27"/>
      <c r="C8" s="27"/>
      <c r="D8" s="28" t="s">
        <v>11</v>
      </c>
      <c r="E8" s="28" t="s">
        <v>12</v>
      </c>
      <c r="F8" s="28" t="s">
        <v>14</v>
      </c>
      <c r="G8" s="28" t="s">
        <v>15</v>
      </c>
      <c r="H8" s="28" t="s">
        <v>16</v>
      </c>
      <c r="I8" s="28" t="s">
        <v>15</v>
      </c>
      <c r="J8" s="28" t="s">
        <v>16</v>
      </c>
      <c r="K8" s="28" t="s">
        <v>15</v>
      </c>
      <c r="L8" s="28" t="s">
        <v>16</v>
      </c>
      <c r="M8" s="28" t="s">
        <v>15</v>
      </c>
      <c r="N8" s="28" t="s">
        <v>16</v>
      </c>
      <c r="O8" s="28" t="s">
        <v>15</v>
      </c>
      <c r="P8" s="29" t="s">
        <v>16</v>
      </c>
      <c r="Q8" s="28" t="s">
        <v>15</v>
      </c>
      <c r="R8" s="28" t="s">
        <v>16</v>
      </c>
      <c r="S8" s="28" t="s">
        <v>15</v>
      </c>
      <c r="T8" s="28" t="s">
        <v>16</v>
      </c>
      <c r="U8" s="28" t="s">
        <v>15</v>
      </c>
      <c r="V8" s="29" t="s">
        <v>16</v>
      </c>
      <c r="W8" s="28" t="s">
        <v>15</v>
      </c>
      <c r="X8" s="28" t="s">
        <v>16</v>
      </c>
      <c r="Y8" s="2"/>
      <c r="Z8" s="2"/>
    </row>
    <row r="9" spans="1:26" x14ac:dyDescent="0.25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1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2"/>
      <c r="Z9" s="32"/>
    </row>
    <row r="10" spans="1:26" ht="33" customHeight="1" x14ac:dyDescent="0.25">
      <c r="A10" s="33">
        <v>1</v>
      </c>
      <c r="B10" s="34" t="s">
        <v>17</v>
      </c>
      <c r="C10" s="35" t="s">
        <v>17</v>
      </c>
      <c r="D10" s="36">
        <v>3</v>
      </c>
      <c r="E10" s="37">
        <v>0</v>
      </c>
      <c r="F10" s="37">
        <f>SUM(D10:E10)</f>
        <v>3</v>
      </c>
      <c r="G10" s="36">
        <v>1</v>
      </c>
      <c r="H10" s="38">
        <f>G10/D10*100%</f>
        <v>0.33333333333333331</v>
      </c>
      <c r="I10" s="37">
        <v>1</v>
      </c>
      <c r="J10" s="38" t="e">
        <f>I10/E10*100%</f>
        <v>#DIV/0!</v>
      </c>
      <c r="K10" s="37">
        <f>G10+I10</f>
        <v>2</v>
      </c>
      <c r="L10" s="38">
        <f>K10/F10*100%</f>
        <v>0.66666666666666663</v>
      </c>
      <c r="M10" s="36">
        <v>3</v>
      </c>
      <c r="N10" s="38">
        <f>M10/D10*100%</f>
        <v>1</v>
      </c>
      <c r="O10" s="37">
        <v>0</v>
      </c>
      <c r="P10" s="38" t="e">
        <f>O10/E10*100%</f>
        <v>#DIV/0!</v>
      </c>
      <c r="Q10" s="37">
        <f>M10+O10</f>
        <v>3</v>
      </c>
      <c r="R10" s="38">
        <f>Q10/F10*100%</f>
        <v>1</v>
      </c>
      <c r="S10" s="36">
        <v>0</v>
      </c>
      <c r="T10" s="38">
        <f>S10/D10*100%</f>
        <v>0</v>
      </c>
      <c r="U10" s="36">
        <v>0</v>
      </c>
      <c r="V10" s="38" t="e">
        <f>U10/E10*100%</f>
        <v>#DIV/0!</v>
      </c>
      <c r="W10" s="37">
        <f>S10+U10</f>
        <v>0</v>
      </c>
      <c r="X10" s="38">
        <f>W10/F10*100%</f>
        <v>0</v>
      </c>
      <c r="Y10" s="2"/>
      <c r="Z10" s="2"/>
    </row>
    <row r="11" spans="1:26" ht="33" customHeight="1" x14ac:dyDescent="0.25">
      <c r="A11" s="33">
        <v>2</v>
      </c>
      <c r="B11" s="39"/>
      <c r="C11" s="35" t="s">
        <v>18</v>
      </c>
      <c r="D11" s="36">
        <v>0</v>
      </c>
      <c r="E11" s="37">
        <v>3</v>
      </c>
      <c r="F11" s="37">
        <f t="shared" ref="F11:F19" si="0">SUM(D11:E11)</f>
        <v>3</v>
      </c>
      <c r="G11" s="36">
        <v>0</v>
      </c>
      <c r="H11" s="38" t="e">
        <f t="shared" ref="H11:H19" si="1">G11/D11*100%</f>
        <v>#DIV/0!</v>
      </c>
      <c r="I11" s="37">
        <v>0</v>
      </c>
      <c r="J11" s="38">
        <f>I11/E11*100%</f>
        <v>0</v>
      </c>
      <c r="K11" s="37">
        <f t="shared" ref="K11:K19" si="2">G11+I11</f>
        <v>0</v>
      </c>
      <c r="L11" s="38">
        <f t="shared" ref="L11:L19" si="3">K11/F11*100%</f>
        <v>0</v>
      </c>
      <c r="M11" s="36">
        <v>0</v>
      </c>
      <c r="N11" s="38" t="e">
        <f t="shared" ref="N11:N19" si="4">M11/D11*100%</f>
        <v>#DIV/0!</v>
      </c>
      <c r="O11" s="37">
        <v>3</v>
      </c>
      <c r="P11" s="38">
        <f t="shared" ref="P11:P19" si="5">O11/E11*100%</f>
        <v>1</v>
      </c>
      <c r="Q11" s="37">
        <f t="shared" ref="Q11:Q19" si="6">M11+O11</f>
        <v>3</v>
      </c>
      <c r="R11" s="38">
        <f t="shared" ref="R11:R19" si="7">Q11/F11*100%</f>
        <v>1</v>
      </c>
      <c r="S11" s="36">
        <v>0</v>
      </c>
      <c r="T11" s="38" t="e">
        <f t="shared" ref="T11:T19" si="8">S11/D11*100%</f>
        <v>#DIV/0!</v>
      </c>
      <c r="U11" s="36">
        <v>0</v>
      </c>
      <c r="V11" s="38">
        <f t="shared" ref="V11:V19" si="9">U11/E11*100%</f>
        <v>0</v>
      </c>
      <c r="W11" s="37">
        <f t="shared" ref="W11:W19" si="10">S11+U11</f>
        <v>0</v>
      </c>
      <c r="X11" s="38">
        <f t="shared" ref="X11:X19" si="11">W11/F11*100%</f>
        <v>0</v>
      </c>
      <c r="Y11" s="2"/>
      <c r="Z11" s="2"/>
    </row>
    <row r="12" spans="1:26" ht="33" customHeight="1" x14ac:dyDescent="0.25">
      <c r="A12" s="33">
        <v>3</v>
      </c>
      <c r="B12" s="39"/>
      <c r="C12" s="35" t="s">
        <v>19</v>
      </c>
      <c r="D12" s="36">
        <v>1</v>
      </c>
      <c r="E12" s="37">
        <v>1</v>
      </c>
      <c r="F12" s="37">
        <f t="shared" si="0"/>
        <v>2</v>
      </c>
      <c r="G12" s="36">
        <v>2</v>
      </c>
      <c r="H12" s="38">
        <f t="shared" si="1"/>
        <v>2</v>
      </c>
      <c r="I12" s="37">
        <v>0</v>
      </c>
      <c r="J12" s="38">
        <f t="shared" ref="J12:J19" si="12">I12/E12*100%</f>
        <v>0</v>
      </c>
      <c r="K12" s="37">
        <f t="shared" si="2"/>
        <v>2</v>
      </c>
      <c r="L12" s="38">
        <f t="shared" si="3"/>
        <v>1</v>
      </c>
      <c r="M12" s="36">
        <v>1</v>
      </c>
      <c r="N12" s="38">
        <f t="shared" si="4"/>
        <v>1</v>
      </c>
      <c r="O12" s="37">
        <v>1</v>
      </c>
      <c r="P12" s="38">
        <f t="shared" si="5"/>
        <v>1</v>
      </c>
      <c r="Q12" s="37">
        <f t="shared" si="6"/>
        <v>2</v>
      </c>
      <c r="R12" s="38">
        <f t="shared" si="7"/>
        <v>1</v>
      </c>
      <c r="S12" s="36">
        <v>0</v>
      </c>
      <c r="T12" s="38">
        <f t="shared" si="8"/>
        <v>0</v>
      </c>
      <c r="U12" s="36">
        <v>0</v>
      </c>
      <c r="V12" s="38">
        <f t="shared" si="9"/>
        <v>0</v>
      </c>
      <c r="W12" s="37">
        <f t="shared" si="10"/>
        <v>0</v>
      </c>
      <c r="X12" s="38">
        <f t="shared" si="11"/>
        <v>0</v>
      </c>
      <c r="Y12" s="2"/>
      <c r="Z12" s="2"/>
    </row>
    <row r="13" spans="1:26" ht="33" customHeight="1" x14ac:dyDescent="0.25">
      <c r="A13" s="33">
        <v>4</v>
      </c>
      <c r="B13" s="39"/>
      <c r="C13" s="35" t="s">
        <v>20</v>
      </c>
      <c r="D13" s="36">
        <v>2</v>
      </c>
      <c r="E13" s="37">
        <v>3</v>
      </c>
      <c r="F13" s="37">
        <f t="shared" si="0"/>
        <v>5</v>
      </c>
      <c r="G13" s="36">
        <v>0</v>
      </c>
      <c r="H13" s="38">
        <f t="shared" si="1"/>
        <v>0</v>
      </c>
      <c r="I13" s="37">
        <v>1</v>
      </c>
      <c r="J13" s="38">
        <f t="shared" si="12"/>
        <v>0.33333333333333331</v>
      </c>
      <c r="K13" s="37">
        <f t="shared" si="2"/>
        <v>1</v>
      </c>
      <c r="L13" s="38">
        <f>K13/F13*100%</f>
        <v>0.2</v>
      </c>
      <c r="M13" s="36">
        <v>2</v>
      </c>
      <c r="N13" s="38">
        <f t="shared" si="4"/>
        <v>1</v>
      </c>
      <c r="O13" s="37">
        <v>3</v>
      </c>
      <c r="P13" s="38">
        <f t="shared" si="5"/>
        <v>1</v>
      </c>
      <c r="Q13" s="37">
        <f t="shared" si="6"/>
        <v>5</v>
      </c>
      <c r="R13" s="38">
        <f t="shared" si="7"/>
        <v>1</v>
      </c>
      <c r="S13" s="36">
        <v>0</v>
      </c>
      <c r="T13" s="38">
        <f t="shared" si="8"/>
        <v>0</v>
      </c>
      <c r="U13" s="36">
        <v>0</v>
      </c>
      <c r="V13" s="38">
        <f t="shared" si="9"/>
        <v>0</v>
      </c>
      <c r="W13" s="37">
        <f t="shared" si="10"/>
        <v>0</v>
      </c>
      <c r="X13" s="38">
        <f t="shared" si="11"/>
        <v>0</v>
      </c>
      <c r="Y13" s="2"/>
      <c r="Z13" s="2"/>
    </row>
    <row r="14" spans="1:26" ht="33" customHeight="1" x14ac:dyDescent="0.25">
      <c r="A14" s="33">
        <v>5</v>
      </c>
      <c r="B14" s="39"/>
      <c r="C14" s="35" t="s">
        <v>21</v>
      </c>
      <c r="D14" s="36">
        <v>3</v>
      </c>
      <c r="E14" s="37">
        <v>0</v>
      </c>
      <c r="F14" s="37">
        <f t="shared" si="0"/>
        <v>3</v>
      </c>
      <c r="G14" s="36">
        <v>3</v>
      </c>
      <c r="H14" s="38">
        <f t="shared" si="1"/>
        <v>1</v>
      </c>
      <c r="I14" s="37">
        <v>1</v>
      </c>
      <c r="J14" s="38" t="e">
        <f t="shared" si="12"/>
        <v>#DIV/0!</v>
      </c>
      <c r="K14" s="37">
        <f t="shared" si="2"/>
        <v>4</v>
      </c>
      <c r="L14" s="38">
        <f>K14/F14*100%</f>
        <v>1.3333333333333333</v>
      </c>
      <c r="M14" s="36">
        <v>3</v>
      </c>
      <c r="N14" s="38">
        <f t="shared" si="4"/>
        <v>1</v>
      </c>
      <c r="O14" s="37">
        <v>0</v>
      </c>
      <c r="P14" s="38" t="e">
        <f t="shared" si="5"/>
        <v>#DIV/0!</v>
      </c>
      <c r="Q14" s="37">
        <f t="shared" si="6"/>
        <v>3</v>
      </c>
      <c r="R14" s="38">
        <f t="shared" si="7"/>
        <v>1</v>
      </c>
      <c r="S14" s="36">
        <v>0</v>
      </c>
      <c r="T14" s="38">
        <f t="shared" si="8"/>
        <v>0</v>
      </c>
      <c r="U14" s="36">
        <v>0</v>
      </c>
      <c r="V14" s="38" t="e">
        <f t="shared" si="9"/>
        <v>#DIV/0!</v>
      </c>
      <c r="W14" s="37">
        <f t="shared" si="10"/>
        <v>0</v>
      </c>
      <c r="X14" s="38">
        <f t="shared" si="11"/>
        <v>0</v>
      </c>
      <c r="Y14" s="2"/>
      <c r="Z14" s="2"/>
    </row>
    <row r="15" spans="1:26" ht="33" customHeight="1" x14ac:dyDescent="0.25">
      <c r="A15" s="33">
        <v>6</v>
      </c>
      <c r="B15" s="39"/>
      <c r="C15" s="35" t="s">
        <v>22</v>
      </c>
      <c r="D15" s="36">
        <v>0</v>
      </c>
      <c r="E15" s="37">
        <v>0</v>
      </c>
      <c r="F15" s="37">
        <f t="shared" si="0"/>
        <v>0</v>
      </c>
      <c r="G15" s="36">
        <v>0</v>
      </c>
      <c r="H15" s="38" t="e">
        <f t="shared" si="1"/>
        <v>#DIV/0!</v>
      </c>
      <c r="I15" s="37">
        <v>0</v>
      </c>
      <c r="J15" s="38" t="e">
        <f t="shared" si="12"/>
        <v>#DIV/0!</v>
      </c>
      <c r="K15" s="37">
        <f t="shared" si="2"/>
        <v>0</v>
      </c>
      <c r="L15" s="38" t="e">
        <f t="shared" si="3"/>
        <v>#DIV/0!</v>
      </c>
      <c r="M15" s="36">
        <v>0</v>
      </c>
      <c r="N15" s="38" t="e">
        <f t="shared" si="4"/>
        <v>#DIV/0!</v>
      </c>
      <c r="O15" s="37">
        <v>0</v>
      </c>
      <c r="P15" s="38" t="e">
        <f t="shared" si="5"/>
        <v>#DIV/0!</v>
      </c>
      <c r="Q15" s="37">
        <f t="shared" si="6"/>
        <v>0</v>
      </c>
      <c r="R15" s="38" t="e">
        <f t="shared" si="7"/>
        <v>#DIV/0!</v>
      </c>
      <c r="S15" s="36">
        <v>0</v>
      </c>
      <c r="T15" s="38" t="e">
        <f t="shared" si="8"/>
        <v>#DIV/0!</v>
      </c>
      <c r="U15" s="36">
        <v>0</v>
      </c>
      <c r="V15" s="38" t="e">
        <f t="shared" si="9"/>
        <v>#DIV/0!</v>
      </c>
      <c r="W15" s="37">
        <f t="shared" si="10"/>
        <v>0</v>
      </c>
      <c r="X15" s="38" t="e">
        <f t="shared" si="11"/>
        <v>#DIV/0!</v>
      </c>
      <c r="Y15" s="2"/>
      <c r="Z15" s="2"/>
    </row>
    <row r="16" spans="1:26" ht="33" customHeight="1" x14ac:dyDescent="0.25">
      <c r="A16" s="33">
        <v>7</v>
      </c>
      <c r="B16" s="39"/>
      <c r="C16" s="35" t="s">
        <v>23</v>
      </c>
      <c r="D16" s="36">
        <v>1</v>
      </c>
      <c r="E16" s="37">
        <v>1</v>
      </c>
      <c r="F16" s="37">
        <f t="shared" si="0"/>
        <v>2</v>
      </c>
      <c r="G16" s="36">
        <v>0</v>
      </c>
      <c r="H16" s="38">
        <f t="shared" si="1"/>
        <v>0</v>
      </c>
      <c r="I16" s="37">
        <v>1</v>
      </c>
      <c r="J16" s="38">
        <f t="shared" si="12"/>
        <v>1</v>
      </c>
      <c r="K16" s="37">
        <f t="shared" si="2"/>
        <v>1</v>
      </c>
      <c r="L16" s="38">
        <f t="shared" si="3"/>
        <v>0.5</v>
      </c>
      <c r="M16" s="36">
        <v>1</v>
      </c>
      <c r="N16" s="38">
        <f t="shared" si="4"/>
        <v>1</v>
      </c>
      <c r="O16" s="37">
        <v>1</v>
      </c>
      <c r="P16" s="38">
        <f t="shared" si="5"/>
        <v>1</v>
      </c>
      <c r="Q16" s="37">
        <f t="shared" si="6"/>
        <v>2</v>
      </c>
      <c r="R16" s="38">
        <f t="shared" si="7"/>
        <v>1</v>
      </c>
      <c r="S16" s="36">
        <v>0</v>
      </c>
      <c r="T16" s="38">
        <f t="shared" si="8"/>
        <v>0</v>
      </c>
      <c r="U16" s="36">
        <v>0</v>
      </c>
      <c r="V16" s="38">
        <f t="shared" si="9"/>
        <v>0</v>
      </c>
      <c r="W16" s="37">
        <f t="shared" si="10"/>
        <v>0</v>
      </c>
      <c r="X16" s="38">
        <f t="shared" si="11"/>
        <v>0</v>
      </c>
      <c r="Y16" s="2"/>
      <c r="Z16" s="2"/>
    </row>
    <row r="17" spans="1:27" ht="33" customHeight="1" x14ac:dyDescent="0.25">
      <c r="A17" s="33">
        <v>8</v>
      </c>
      <c r="B17" s="39"/>
      <c r="C17" s="35" t="s">
        <v>24</v>
      </c>
      <c r="D17" s="36">
        <v>0</v>
      </c>
      <c r="E17" s="37">
        <v>0</v>
      </c>
      <c r="F17" s="37">
        <f t="shared" si="0"/>
        <v>0</v>
      </c>
      <c r="G17" s="36">
        <v>0</v>
      </c>
      <c r="H17" s="38" t="e">
        <f t="shared" si="1"/>
        <v>#DIV/0!</v>
      </c>
      <c r="I17" s="37">
        <v>2</v>
      </c>
      <c r="J17" s="38" t="e">
        <f t="shared" si="12"/>
        <v>#DIV/0!</v>
      </c>
      <c r="K17" s="37">
        <f t="shared" si="2"/>
        <v>2</v>
      </c>
      <c r="L17" s="38" t="e">
        <f t="shared" si="3"/>
        <v>#DIV/0!</v>
      </c>
      <c r="M17" s="36">
        <v>0</v>
      </c>
      <c r="N17" s="38" t="e">
        <f t="shared" si="4"/>
        <v>#DIV/0!</v>
      </c>
      <c r="O17" s="37">
        <v>0</v>
      </c>
      <c r="P17" s="38" t="e">
        <f t="shared" si="5"/>
        <v>#DIV/0!</v>
      </c>
      <c r="Q17" s="37">
        <f t="shared" si="6"/>
        <v>0</v>
      </c>
      <c r="R17" s="38" t="e">
        <f t="shared" si="7"/>
        <v>#DIV/0!</v>
      </c>
      <c r="S17" s="36">
        <v>0</v>
      </c>
      <c r="T17" s="38" t="e">
        <f t="shared" si="8"/>
        <v>#DIV/0!</v>
      </c>
      <c r="U17" s="36">
        <v>0</v>
      </c>
      <c r="V17" s="38" t="e">
        <f t="shared" si="9"/>
        <v>#DIV/0!</v>
      </c>
      <c r="W17" s="37">
        <f t="shared" si="10"/>
        <v>0</v>
      </c>
      <c r="X17" s="38" t="e">
        <f t="shared" si="11"/>
        <v>#DIV/0!</v>
      </c>
      <c r="Y17" s="2"/>
      <c r="Z17" s="2"/>
    </row>
    <row r="18" spans="1:27" ht="33" customHeight="1" x14ac:dyDescent="0.25">
      <c r="A18" s="33">
        <v>9</v>
      </c>
      <c r="B18" s="39"/>
      <c r="C18" s="35" t="s">
        <v>25</v>
      </c>
      <c r="D18" s="36">
        <v>0</v>
      </c>
      <c r="E18" s="37">
        <v>0</v>
      </c>
      <c r="F18" s="37">
        <f t="shared" si="0"/>
        <v>0</v>
      </c>
      <c r="G18" s="36">
        <v>0</v>
      </c>
      <c r="H18" s="38" t="e">
        <f t="shared" si="1"/>
        <v>#DIV/0!</v>
      </c>
      <c r="I18" s="37">
        <v>0</v>
      </c>
      <c r="J18" s="38" t="e">
        <f t="shared" si="12"/>
        <v>#DIV/0!</v>
      </c>
      <c r="K18" s="37">
        <f t="shared" si="2"/>
        <v>0</v>
      </c>
      <c r="L18" s="38" t="e">
        <f t="shared" si="3"/>
        <v>#DIV/0!</v>
      </c>
      <c r="M18" s="36">
        <v>0</v>
      </c>
      <c r="N18" s="38" t="e">
        <f t="shared" si="4"/>
        <v>#DIV/0!</v>
      </c>
      <c r="O18" s="37">
        <v>0</v>
      </c>
      <c r="P18" s="38" t="e">
        <f t="shared" si="5"/>
        <v>#DIV/0!</v>
      </c>
      <c r="Q18" s="37">
        <f t="shared" si="6"/>
        <v>0</v>
      </c>
      <c r="R18" s="38" t="e">
        <f t="shared" si="7"/>
        <v>#DIV/0!</v>
      </c>
      <c r="S18" s="36">
        <v>0</v>
      </c>
      <c r="T18" s="38" t="e">
        <f t="shared" si="8"/>
        <v>#DIV/0!</v>
      </c>
      <c r="U18" s="36">
        <v>0</v>
      </c>
      <c r="V18" s="38" t="e">
        <f t="shared" si="9"/>
        <v>#DIV/0!</v>
      </c>
      <c r="W18" s="37">
        <f t="shared" si="10"/>
        <v>0</v>
      </c>
      <c r="X18" s="38" t="e">
        <f t="shared" si="11"/>
        <v>#DIV/0!</v>
      </c>
      <c r="Y18" s="2"/>
      <c r="Z18" s="2"/>
    </row>
    <row r="19" spans="1:27" ht="33" customHeight="1" x14ac:dyDescent="0.25">
      <c r="A19" s="33">
        <v>10</v>
      </c>
      <c r="B19" s="40"/>
      <c r="C19" s="35" t="s">
        <v>26</v>
      </c>
      <c r="D19" s="36">
        <v>0</v>
      </c>
      <c r="E19" s="37">
        <v>0</v>
      </c>
      <c r="F19" s="37">
        <f t="shared" si="0"/>
        <v>0</v>
      </c>
      <c r="G19" s="36">
        <v>0</v>
      </c>
      <c r="H19" s="38" t="e">
        <f t="shared" si="1"/>
        <v>#DIV/0!</v>
      </c>
      <c r="I19" s="37">
        <v>0</v>
      </c>
      <c r="J19" s="38" t="e">
        <f t="shared" si="12"/>
        <v>#DIV/0!</v>
      </c>
      <c r="K19" s="37">
        <f t="shared" si="2"/>
        <v>0</v>
      </c>
      <c r="L19" s="38" t="e">
        <f t="shared" si="3"/>
        <v>#DIV/0!</v>
      </c>
      <c r="M19" s="36">
        <v>0</v>
      </c>
      <c r="N19" s="38" t="e">
        <f t="shared" si="4"/>
        <v>#DIV/0!</v>
      </c>
      <c r="O19" s="37">
        <v>0</v>
      </c>
      <c r="P19" s="38" t="e">
        <f t="shared" si="5"/>
        <v>#DIV/0!</v>
      </c>
      <c r="Q19" s="37">
        <f t="shared" si="6"/>
        <v>0</v>
      </c>
      <c r="R19" s="38" t="e">
        <f t="shared" si="7"/>
        <v>#DIV/0!</v>
      </c>
      <c r="S19" s="36">
        <v>0</v>
      </c>
      <c r="T19" s="38" t="e">
        <f t="shared" si="8"/>
        <v>#DIV/0!</v>
      </c>
      <c r="U19" s="36">
        <v>0</v>
      </c>
      <c r="V19" s="38" t="e">
        <f t="shared" si="9"/>
        <v>#DIV/0!</v>
      </c>
      <c r="W19" s="37">
        <f t="shared" si="10"/>
        <v>0</v>
      </c>
      <c r="X19" s="38" t="e">
        <f t="shared" si="11"/>
        <v>#DIV/0!</v>
      </c>
      <c r="Y19" s="2"/>
      <c r="Z19" s="2"/>
    </row>
    <row r="20" spans="1:27" ht="33" customHeight="1" thickBot="1" x14ac:dyDescent="0.3">
      <c r="A20" s="41" t="s">
        <v>15</v>
      </c>
      <c r="B20" s="42"/>
      <c r="C20" s="43"/>
      <c r="D20" s="44">
        <f>SUM(D10:D19)</f>
        <v>10</v>
      </c>
      <c r="E20" s="44">
        <f t="shared" ref="E20:W20" si="13">SUM(E10:E19)</f>
        <v>8</v>
      </c>
      <c r="F20" s="44">
        <f t="shared" si="13"/>
        <v>18</v>
      </c>
      <c r="G20" s="44">
        <f t="shared" si="13"/>
        <v>6</v>
      </c>
      <c r="H20" s="45">
        <f>G20/D20*100%</f>
        <v>0.6</v>
      </c>
      <c r="I20" s="44">
        <f t="shared" si="13"/>
        <v>6</v>
      </c>
      <c r="J20" s="45">
        <f>I20/E20*100%</f>
        <v>0.75</v>
      </c>
      <c r="K20" s="44">
        <f t="shared" si="13"/>
        <v>12</v>
      </c>
      <c r="L20" s="45">
        <f>K20/F20*100%</f>
        <v>0.66666666666666663</v>
      </c>
      <c r="M20" s="44">
        <f t="shared" si="13"/>
        <v>10</v>
      </c>
      <c r="N20" s="45">
        <f>M20/D20*100%</f>
        <v>1</v>
      </c>
      <c r="O20" s="44">
        <f t="shared" si="13"/>
        <v>8</v>
      </c>
      <c r="P20" s="45">
        <f>O20/E20*100%</f>
        <v>1</v>
      </c>
      <c r="Q20" s="44">
        <f t="shared" si="13"/>
        <v>18</v>
      </c>
      <c r="R20" s="45">
        <f>Q20/F20*100%</f>
        <v>1</v>
      </c>
      <c r="S20" s="44">
        <f t="shared" si="13"/>
        <v>0</v>
      </c>
      <c r="T20" s="45">
        <f>S20/D20*100%</f>
        <v>0</v>
      </c>
      <c r="U20" s="44">
        <f t="shared" si="13"/>
        <v>0</v>
      </c>
      <c r="V20" s="45">
        <f>U20/E20*100%</f>
        <v>0</v>
      </c>
      <c r="W20" s="44">
        <f t="shared" si="13"/>
        <v>0</v>
      </c>
      <c r="X20" s="45">
        <f>W20/F20*100%</f>
        <v>0</v>
      </c>
      <c r="Y20" s="2"/>
      <c r="Z20" s="2"/>
    </row>
    <row r="21" spans="1:27" ht="19.5" customHeight="1" x14ac:dyDescent="0.25">
      <c r="A21" s="6"/>
      <c r="B21" s="6"/>
      <c r="C21" s="6"/>
      <c r="D21" s="46"/>
      <c r="E21" s="46"/>
      <c r="F21" s="46"/>
      <c r="G21" s="46"/>
      <c r="H21" s="47"/>
      <c r="I21" s="46"/>
      <c r="J21" s="47"/>
      <c r="K21" s="46"/>
      <c r="L21" s="47"/>
      <c r="M21" s="46"/>
      <c r="N21" s="47"/>
      <c r="O21" s="46"/>
      <c r="P21" s="47"/>
      <c r="Q21" s="46"/>
      <c r="R21" s="47"/>
      <c r="S21" s="46"/>
      <c r="T21" s="47"/>
      <c r="U21" s="46"/>
      <c r="V21" s="47"/>
      <c r="W21" s="46"/>
      <c r="X21" s="47"/>
      <c r="Y21" s="2"/>
      <c r="Z21" s="2"/>
    </row>
    <row r="22" spans="1:27" ht="18.75" customHeight="1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9" t="s">
        <v>27</v>
      </c>
      <c r="R22" s="49"/>
      <c r="S22" s="49"/>
      <c r="T22" s="49"/>
      <c r="U22" s="49"/>
      <c r="V22" s="49"/>
      <c r="W22" s="49"/>
      <c r="X22" s="49"/>
      <c r="Y22" s="50"/>
      <c r="Z22" s="50"/>
      <c r="AA22" s="50"/>
    </row>
    <row r="23" spans="1:27" x14ac:dyDescent="0.25">
      <c r="A23" s="51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49" t="s">
        <v>29</v>
      </c>
      <c r="R23" s="49"/>
      <c r="S23" s="49"/>
      <c r="T23" s="49"/>
      <c r="U23" s="49"/>
      <c r="V23" s="49"/>
      <c r="W23" s="49"/>
      <c r="X23" s="49"/>
      <c r="Y23" s="52"/>
      <c r="Z23" s="52"/>
      <c r="AA23" s="5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49" t="s">
        <v>30</v>
      </c>
      <c r="R24" s="49"/>
      <c r="S24" s="49"/>
      <c r="T24" s="49"/>
      <c r="U24" s="49"/>
      <c r="V24" s="49"/>
      <c r="W24" s="49"/>
      <c r="X24" s="49"/>
      <c r="Y24" s="52"/>
      <c r="Z24" s="52"/>
      <c r="AA24" s="5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53"/>
      <c r="K25" s="2"/>
      <c r="L25" s="2"/>
      <c r="M25" s="2"/>
      <c r="N25" s="2"/>
      <c r="O25" s="2"/>
      <c r="P25" s="53"/>
      <c r="Q25" s="54"/>
      <c r="R25" s="54"/>
      <c r="S25" s="54"/>
      <c r="T25" s="54"/>
      <c r="U25" s="54"/>
      <c r="V25" s="54"/>
      <c r="W25" s="54"/>
      <c r="X25" s="54"/>
      <c r="Y25" s="50"/>
      <c r="Z25" s="50"/>
      <c r="AA25" s="50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54"/>
      <c r="R26" s="54"/>
      <c r="S26" s="54"/>
      <c r="T26" s="54"/>
      <c r="U26" s="54"/>
      <c r="V26" s="54"/>
      <c r="W26" s="54"/>
      <c r="X26" s="54"/>
      <c r="Y26" s="50"/>
      <c r="Z26" s="50"/>
      <c r="AA26" s="50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4"/>
      <c r="R27" s="54"/>
      <c r="S27" s="54"/>
      <c r="T27" s="54"/>
      <c r="U27" s="54"/>
      <c r="V27" s="54"/>
      <c r="W27" s="54"/>
      <c r="X27" s="54"/>
      <c r="Y27" s="50"/>
      <c r="Z27" s="50"/>
      <c r="AA27" s="50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54"/>
      <c r="R28" s="54"/>
      <c r="S28" s="54"/>
      <c r="T28" s="54"/>
      <c r="U28" s="54"/>
      <c r="V28" s="54"/>
      <c r="W28" s="54"/>
      <c r="X28" s="54"/>
      <c r="Y28" s="50"/>
      <c r="Z28" s="50"/>
      <c r="AA28" s="50"/>
    </row>
    <row r="29" spans="1:27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55" t="s">
        <v>31</v>
      </c>
      <c r="R29" s="55"/>
      <c r="S29" s="55"/>
      <c r="T29" s="55"/>
      <c r="U29" s="55"/>
      <c r="V29" s="55"/>
      <c r="W29" s="55"/>
      <c r="X29" s="55"/>
      <c r="Y29" s="56"/>
      <c r="Z29" s="56"/>
      <c r="AA29" s="56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9" t="s">
        <v>32</v>
      </c>
      <c r="R30" s="49"/>
      <c r="S30" s="49"/>
      <c r="T30" s="49"/>
      <c r="U30" s="49"/>
      <c r="V30" s="49"/>
      <c r="W30" s="49"/>
      <c r="X30" s="49"/>
      <c r="Y30" s="52"/>
      <c r="Z30" s="52"/>
      <c r="AA30" s="5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52"/>
      <c r="U31" s="52"/>
      <c r="V31" s="50"/>
      <c r="W31" s="50"/>
      <c r="X31" s="50"/>
      <c r="Y31" s="50"/>
      <c r="Z31" s="50"/>
      <c r="AA31" s="50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27">
    <mergeCell ref="Q26:X26"/>
    <mergeCell ref="Q27:X27"/>
    <mergeCell ref="Q28:X28"/>
    <mergeCell ref="Q29:X29"/>
    <mergeCell ref="Q30:X30"/>
    <mergeCell ref="W7:X7"/>
    <mergeCell ref="B10:B19"/>
    <mergeCell ref="Q22:X22"/>
    <mergeCell ref="Q23:X23"/>
    <mergeCell ref="Q24:X24"/>
    <mergeCell ref="Q25:X25"/>
    <mergeCell ref="K7:L7"/>
    <mergeCell ref="M7:N7"/>
    <mergeCell ref="O7:P7"/>
    <mergeCell ref="Q7:R7"/>
    <mergeCell ref="S7:T7"/>
    <mergeCell ref="U7:V7"/>
    <mergeCell ref="A3:X3"/>
    <mergeCell ref="A6:A8"/>
    <mergeCell ref="B6:B8"/>
    <mergeCell ref="C6:C8"/>
    <mergeCell ref="D6:F7"/>
    <mergeCell ref="G6:L6"/>
    <mergeCell ref="M6:R6"/>
    <mergeCell ref="S6:X6"/>
    <mergeCell ref="G7:H7"/>
    <mergeCell ref="I7:J7"/>
  </mergeCells>
  <conditionalFormatting sqref="J25 P25">
    <cfRule type="cellIs" dxfId="0" priority="1" stopIfTrue="1" operator="notEqual">
      <formula>#REF!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10000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Agim Pratama</dc:creator>
  <cp:lastModifiedBy>Agim Pratama</cp:lastModifiedBy>
  <dcterms:created xsi:type="dcterms:W3CDTF">2026-06-03T05:42:36Z</dcterms:created>
  <dcterms:modified xsi:type="dcterms:W3CDTF">2026-06-03T05:43:07Z</dcterms:modified>
</cp:coreProperties>
</file>